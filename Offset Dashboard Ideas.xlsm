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chin\Downloads\"/>
    </mc:Choice>
  </mc:AlternateContent>
  <xr:revisionPtr revIDLastSave="0" documentId="13_ncr:1_{EB196358-ED40-49E0-A2B3-065356D8F7DA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Dynamic Drop Down" sheetId="1" r:id="rId1"/>
    <sheet name="Form Controls" sheetId="2" r:id="rId2"/>
    <sheet name="Sheet3" sheetId="3" r:id="rId3"/>
    <sheet name="Sheet4" sheetId="4" r:id="rId4"/>
    <sheet name="Sheet1" sheetId="6" r:id="rId5"/>
    <sheet name="Sheet6" sheetId="9" r:id="rId6"/>
    <sheet name="Sheet2" sheetId="7" r:id="rId7"/>
    <sheet name="Sheet5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3" i="4" l="1"/>
  <c r="G28" i="4"/>
  <c r="G19" i="4"/>
  <c r="K19" i="4"/>
  <c r="B25" i="4"/>
  <c r="E25" i="4"/>
  <c r="G4" i="3" l="1"/>
  <c r="H4" i="3"/>
  <c r="H5" i="3"/>
  <c r="H6" i="3"/>
  <c r="H7" i="3"/>
  <c r="G5" i="3"/>
  <c r="G6" i="3"/>
  <c r="G7" i="3"/>
  <c r="I2" i="1" l="1"/>
</calcChain>
</file>

<file path=xl/sharedStrings.xml><?xml version="1.0" encoding="utf-8"?>
<sst xmlns="http://schemas.openxmlformats.org/spreadsheetml/2006/main" count="157" uniqueCount="112">
  <si>
    <t>Drop Down</t>
  </si>
  <si>
    <t>A</t>
  </si>
  <si>
    <t>B</t>
  </si>
  <si>
    <t>C</t>
  </si>
  <si>
    <t>D</t>
  </si>
  <si>
    <t>E</t>
  </si>
  <si>
    <t>List Items</t>
  </si>
  <si>
    <t>ABC Ltd.</t>
  </si>
  <si>
    <t>Comp 1</t>
  </si>
  <si>
    <t>Comp 2</t>
  </si>
  <si>
    <t>Comp 3</t>
  </si>
  <si>
    <t>Comp 4</t>
  </si>
  <si>
    <t>Comp 5</t>
  </si>
  <si>
    <t>Comp 6</t>
  </si>
  <si>
    <t>Comp 7</t>
  </si>
  <si>
    <t>Comp 8</t>
  </si>
  <si>
    <t>Comp 9</t>
  </si>
  <si>
    <t>Comp 10</t>
  </si>
  <si>
    <t>Comp 11</t>
  </si>
  <si>
    <t>Comp 12</t>
  </si>
  <si>
    <t>Comp 13</t>
  </si>
  <si>
    <t>Comp 14</t>
  </si>
  <si>
    <t>Comp 15</t>
  </si>
  <si>
    <t>Comp 16</t>
  </si>
  <si>
    <t>Comp 17</t>
  </si>
  <si>
    <t>Comp 18</t>
  </si>
  <si>
    <t>Comp 19</t>
  </si>
  <si>
    <t>Comp 20</t>
  </si>
  <si>
    <t>Comp 21</t>
  </si>
  <si>
    <t>Comp 22</t>
  </si>
  <si>
    <t>Comp 23</t>
  </si>
  <si>
    <t>Comp 24</t>
  </si>
  <si>
    <t>Comp 25</t>
  </si>
  <si>
    <t>Comp 26</t>
  </si>
  <si>
    <t>Comp 27</t>
  </si>
  <si>
    <t>Comp 28</t>
  </si>
  <si>
    <t>Comp 29</t>
  </si>
  <si>
    <t>Comp 30</t>
  </si>
  <si>
    <t>Comp 31</t>
  </si>
  <si>
    <t>Comp 32</t>
  </si>
  <si>
    <t>Comp 33</t>
  </si>
  <si>
    <t>Comp 34</t>
  </si>
  <si>
    <t>Comp 35</t>
  </si>
  <si>
    <t>Comp 36</t>
  </si>
  <si>
    <t>Comp 37</t>
  </si>
  <si>
    <t>Comp 38</t>
  </si>
  <si>
    <t>Comp 39</t>
  </si>
  <si>
    <t>Comp 40</t>
  </si>
  <si>
    <t>Comp 41</t>
  </si>
  <si>
    <t>Comp 42</t>
  </si>
  <si>
    <t>Comp 43</t>
  </si>
  <si>
    <t>Comp 44</t>
  </si>
  <si>
    <t>Comp 45</t>
  </si>
  <si>
    <t>Comp 46</t>
  </si>
  <si>
    <t>Comp 47</t>
  </si>
  <si>
    <t>Comp 48</t>
  </si>
  <si>
    <t>Comp 49</t>
  </si>
  <si>
    <t>Comp 50</t>
  </si>
  <si>
    <t>Company Names</t>
  </si>
  <si>
    <t>Total Sales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</si>
  <si>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</si>
  <si>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</si>
  <si>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</si>
  <si>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</si>
  <si>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</si>
  <si>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</si>
  <si>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</si>
  <si>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</si>
  <si>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</si>
  <si>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</si>
  <si>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</si>
  <si>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</si>
  <si>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Sales Location</t>
  </si>
  <si>
    <t>Country 1</t>
  </si>
  <si>
    <t>Country 2</t>
  </si>
  <si>
    <t>Country 3</t>
  </si>
  <si>
    <t>Country 4</t>
  </si>
  <si>
    <t>Country 5</t>
  </si>
  <si>
    <t>Country 6</t>
  </si>
  <si>
    <t>Country 7</t>
  </si>
  <si>
    <t>Country 8</t>
  </si>
  <si>
    <t>Country 9</t>
  </si>
  <si>
    <t>Country 10</t>
  </si>
  <si>
    <t>Country 11</t>
  </si>
  <si>
    <t>Country 12</t>
  </si>
  <si>
    <t>Country 13</t>
  </si>
  <si>
    <t>Country 14</t>
  </si>
  <si>
    <t>Country 15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</si>
  <si>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</si>
  <si>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</si>
  <si>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</si>
  <si>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</si>
  <si>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</si>
  <si>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</si>
  <si>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</si>
  <si>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</si>
  <si>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</si>
  <si>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</si>
  <si>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</si>
  <si>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</si>
  <si>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Name</t>
  </si>
  <si>
    <t>S.no</t>
  </si>
  <si>
    <t>Address</t>
  </si>
  <si>
    <t>E.Mail</t>
  </si>
  <si>
    <t>INVOICE</t>
  </si>
  <si>
    <t>Billed To</t>
  </si>
  <si>
    <t>Pay To :</t>
  </si>
  <si>
    <t>Description</t>
  </si>
  <si>
    <t xml:space="preserve">Rate </t>
  </si>
  <si>
    <t>Hours</t>
  </si>
  <si>
    <t>Amount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</si>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</sst>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₹&quot;\ #,##0.00;[Red]&quot;₹&quot;\ \-#,##0.00"/>
    <numFmt numFmtId="164" formatCode="&quot;₹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20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2" tint="-9.9978637043366805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1" xfId="0" applyBorder="1"/>
    <xf numFmtId="8" fontId="0" fillId="0" borderId="0" xfId="0" applyNumberFormat="1"/>
    <xf numFmtId="0" fontId="0" fillId="0" borderId="5" xfId="0" applyBorder="1"/>
    <xf numFmtId="164" fontId="0" fillId="0" borderId="0" xfId="0" applyNumberFormat="1"/>
    <xf numFmtId="0" fontId="0" fillId="0" borderId="14" xfId="0" applyBorder="1"/>
    <xf numFmtId="0" fontId="4" fillId="3" borderId="0" xfId="0" applyFont="1" applyFill="1"/>
    <xf numFmtId="0" fontId="0" fillId="0" borderId="15" xfId="0" applyBorder="1"/>
    <xf numFmtId="0" fontId="4" fillId="3" borderId="1" xfId="0" applyFont="1" applyFill="1" applyBorder="1"/>
    <xf numFmtId="0" fontId="5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8" fillId="4" borderId="1" xfId="0" applyFont="1" applyFill="1" applyBorder="1"/>
    <xf numFmtId="0" fontId="7" fillId="4" borderId="1" xfId="0" applyFont="1" applyFill="1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4" borderId="18" xfId="0" applyFont="1" applyFill="1" applyBorder="1" applyAlignment="1">
      <alignment horizontal="left"/>
    </xf>
    <xf numFmtId="0" fontId="0" fillId="0" borderId="18" xfId="0" applyBorder="1"/>
    <xf numFmtId="0" fontId="0" fillId="0" borderId="1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Sheet3!$H$2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88-4A9F-B002-92A04F12F4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Sheet3!$G$3:$G$7</c:f>
              <c:strCache>
                <c:ptCount val="5"/>
                <c:pt idx="0">
                  <c:v>ABC Ltd.</c:v>
                </c:pt>
                <c:pt idx="1">
                  <c:v>Comp 9</c:v>
                </c:pt>
                <c:pt idx="2">
                  <c:v>Comp 10</c:v>
                </c:pt>
                <c:pt idx="3">
                  <c:v>Comp 11</c:v>
                </c:pt>
                <c:pt idx="4">
                  <c:v>Comp 12</c:v>
                </c:pt>
              </c:strCache>
            </c:strRef>
          </c:cat>
          <c:val>
            <c:numRef>
              <c:f>Sheet3!$H$3:$H$7</c:f>
              <c:numCache>
                <c:formatCode>"₹"#,##0.00_);[Red]\("₹"#,##0.00\)</c:formatCode>
                <c:ptCount val="5"/>
                <c:pt idx="0">
                  <c:v>756756</c:v>
                </c:pt>
                <c:pt idx="1">
                  <c:v>717031</c:v>
                </c:pt>
                <c:pt idx="2">
                  <c:v>827605</c:v>
                </c:pt>
                <c:pt idx="3">
                  <c:v>71558</c:v>
                </c:pt>
                <c:pt idx="4">
                  <c:v>202841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88-4A9F-B002-92A04F12F4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445938528"/>
        <c:axId val="-1445937440"/>
      </c:barChart>
      <c:catAx>
        <c:axId val="-144593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5937440"/>
        <c:crosses val="autoZero"/>
        <c:auto val="1"/>
        <c:lblAlgn val="ctr"/>
        <c:lblOffset val="100"/>
        <c:noMultiLvlLbl val="0"/>
      </c:catAx>
      <c:valAx>
        <c:axId val="-144593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593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4" dropStyle="combo" dx="16" fmlaLink="$C$4" fmlaRange="$A$1:$A$5" sel="2" val="0"/>
</file>

<file path=xl/ctrlProps/ctrlProp3.xml><?xml version="1.0" encoding="utf-8"?>
<formControlPr xmlns="http://schemas.microsoft.com/office/spreadsheetml/2009/9/main" objectType="Spin" dx="22" fmlaLink="$C$6" max="20" min="1" page="10"/>
</file>

<file path=xl/ctrlProps/ctrlProp4.xml><?xml version="1.0" encoding="utf-8"?>
<formControlPr xmlns="http://schemas.microsoft.com/office/spreadsheetml/2009/9/main" objectType="Scroll" dx="22" fmlaLink="$G$6" max="100" page="5" val="16"/>
</file>

<file path=xl/ctrlProps/ctrlProp5.xml><?xml version="1.0" encoding="utf-8"?>
<formControlPr xmlns="http://schemas.microsoft.com/office/spreadsheetml/2009/9/main" objectType="Scroll" dx="22" fmlaLink="$E$24" horiz="1" max="47" min="1" page="4" val="9"/>
</file>

<file path=xl/ctrlProps/ctrlProp6.xml><?xml version="1.0" encoding="utf-8"?>
<formControlPr xmlns="http://schemas.microsoft.com/office/spreadsheetml/2009/9/main" objectType="Drop" dropLines="3" dropStyle="combo" dx="26" fmlaLink="$G$18" fmlaRange="$P$7:$P$18" noThreeD="1" sel="1" val="0"/>
</file>

<file path=xl/ctrlProps/ctrlProp7.xml><?xml version="1.0" encoding="utf-8"?>
<formControlPr xmlns="http://schemas.microsoft.com/office/spreadsheetml/2009/9/main" objectType="Drop" dropLines="4" dropStyle="combo" dx="26" fmlaLink="$K$18" fmlaRange="$P$7:$P$18" noThreeD="1" sel="0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</xdr:row>
          <xdr:rowOff>190500</xdr:rowOff>
        </xdr:from>
        <xdr:to>
          <xdr:col>5</xdr:col>
          <xdr:colOff>22860</xdr:colOff>
          <xdr:row>4</xdr:row>
          <xdr:rowOff>7620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8660</xdr:colOff>
      <xdr:row>7</xdr:row>
      <xdr:rowOff>51955</xdr:rowOff>
    </xdr:from>
    <xdr:to>
      <xdr:col>11</xdr:col>
      <xdr:colOff>571501</xdr:colOff>
      <xdr:row>22</xdr:row>
      <xdr:rowOff>173182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15240</xdr:rowOff>
        </xdr:to>
        <xdr:sp macro="" textlink="">
          <xdr:nvSpPr>
            <xdr:cNvPr id="4106" name="Drop Dow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15240</xdr:rowOff>
        </xdr:to>
        <xdr:sp macro="" textlink="">
          <xdr:nvSpPr>
            <xdr:cNvPr id="4108" name="Drop Dow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"/>
  <sheetViews>
    <sheetView zoomScale="175" zoomScaleNormal="175" workbookViewId="0">
      <selection activeCell="B2" sqref="B2"/>
    </sheetView>
  </sheetViews>
  <sheetFormatPr defaultRowHeight="14.4" x14ac:dyDescent="0.3"/>
  <cols>
    <col min="2" max="2" width="14.5546875" customWidth="1"/>
  </cols>
  <sheetData>
    <row r="1" spans="2:9" x14ac:dyDescent="0.3">
      <c r="B1" s="1" t="s">
        <v>0</v>
      </c>
      <c r="H1" t="s">
        <v>6</v>
      </c>
    </row>
    <row r="2" spans="2:9" x14ac:dyDescent="0.3">
      <c r="B2" s="2"/>
      <c r="H2" t="s">
        <v>1</v>
      </c>
      <c r="I2" t="str">
        <f ca="1">OFFSET(H1,1,0,COUNTA(H1:H16),1)</f>
        <v>A</v>
      </c>
    </row>
    <row r="3" spans="2:9" x14ac:dyDescent="0.3">
      <c r="H3" t="s">
        <v>2</v>
      </c>
    </row>
  </sheetData>
  <dataConsolidate/>
  <dataValidations count="1">
    <dataValidation type="list" allowBlank="1" showInputMessage="1" showErrorMessage="1" sqref="B2" xr:uid="{00000000-0002-0000-0000-000000000000}">
      <formula1>OFFSET(H1,1,0,COUNTA(H1:H100)-1,1)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"/>
  <sheetViews>
    <sheetView zoomScale="175" zoomScaleNormal="175" workbookViewId="0">
      <selection activeCell="C4" sqref="C4"/>
    </sheetView>
  </sheetViews>
  <sheetFormatPr defaultRowHeight="14.4" x14ac:dyDescent="0.3"/>
  <cols>
    <col min="6" max="6" width="2.88671875" customWidth="1"/>
  </cols>
  <sheetData>
    <row r="1" spans="1:7" x14ac:dyDescent="0.3">
      <c r="A1" t="s">
        <v>1</v>
      </c>
    </row>
    <row r="2" spans="1:7" x14ac:dyDescent="0.3">
      <c r="A2" t="s">
        <v>2</v>
      </c>
    </row>
    <row r="3" spans="1:7" x14ac:dyDescent="0.3">
      <c r="A3" t="s">
        <v>3</v>
      </c>
    </row>
    <row r="4" spans="1:7" x14ac:dyDescent="0.3">
      <c r="A4" t="s">
        <v>4</v>
      </c>
      <c r="C4">
        <v>2</v>
      </c>
    </row>
    <row r="5" spans="1:7" x14ac:dyDescent="0.3">
      <c r="A5" t="s">
        <v>5</v>
      </c>
    </row>
    <row r="6" spans="1:7" x14ac:dyDescent="0.3">
      <c r="C6">
        <v>1</v>
      </c>
      <c r="G6">
        <v>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3</xdr:col>
                    <xdr:colOff>7620</xdr:colOff>
                    <xdr:row>2</xdr:row>
                    <xdr:rowOff>190500</xdr:rowOff>
                  </from>
                  <to>
                    <xdr:col>5</xdr:col>
                    <xdr:colOff>22860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Spinner 6">
              <controlPr defaultSize="0" autoPict="0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Scroll Bar 7">
              <controlPr defaultSize="0" autoPict="0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53"/>
  <sheetViews>
    <sheetView zoomScale="110" zoomScaleNormal="110" workbookViewId="0">
      <selection activeCell="H7" sqref="H7"/>
    </sheetView>
  </sheetViews>
  <sheetFormatPr defaultRowHeight="14.4" x14ac:dyDescent="0.3"/>
  <cols>
    <col min="2" max="2" width="16" bestFit="1" customWidth="1"/>
    <col min="3" max="3" width="13.109375" bestFit="1" customWidth="1"/>
    <col min="7" max="7" width="16" bestFit="1" customWidth="1"/>
    <col min="8" max="8" width="13" bestFit="1" customWidth="1"/>
  </cols>
  <sheetData>
    <row r="2" spans="2:8" x14ac:dyDescent="0.3">
      <c r="B2" t="s">
        <v>58</v>
      </c>
      <c r="C2" t="s">
        <v>59</v>
      </c>
      <c r="G2" t="s">
        <v>58</v>
      </c>
      <c r="H2" t="s">
        <v>59</v>
      </c>
    </row>
    <row r="3" spans="2:8" x14ac:dyDescent="0.3">
      <c r="B3" t="s">
        <v>7</v>
      </c>
      <c r="C3" s="3">
        <v>756756</v>
      </c>
      <c r="G3" t="s">
        <v>7</v>
      </c>
      <c r="H3" s="3">
        <v>756756</v>
      </c>
    </row>
    <row r="4" spans="2:8" x14ac:dyDescent="0.3">
      <c r="B4" t="s">
        <v>8</v>
      </c>
      <c r="C4" s="3">
        <v>651688</v>
      </c>
      <c r="G4" t="str">
        <f ca="1">OFFSET(B4,$E$24-1,0)</f>
        <v>Comp 9</v>
      </c>
      <c r="H4" s="3">
        <f ca="1">OFFSET(C4,$E$24-1,0)</f>
        <v>717031</v>
      </c>
    </row>
    <row r="5" spans="2:8" x14ac:dyDescent="0.3">
      <c r="B5" t="s">
        <v>9</v>
      </c>
      <c r="C5" s="3">
        <v>298245</v>
      </c>
      <c r="G5" t="str">
        <f t="shared" ref="G5:H7" ca="1" si="0">OFFSET(B5,$E$24-1,0)</f>
        <v>Comp 10</v>
      </c>
      <c r="H5" s="3">
        <f t="shared" ca="1" si="0"/>
        <v>827605</v>
      </c>
    </row>
    <row r="6" spans="2:8" x14ac:dyDescent="0.3">
      <c r="B6" t="s">
        <v>10</v>
      </c>
      <c r="C6" s="3">
        <v>880654</v>
      </c>
      <c r="G6" t="str">
        <f t="shared" ca="1" si="0"/>
        <v>Comp 11</v>
      </c>
      <c r="H6" s="3">
        <f t="shared" ca="1" si="0"/>
        <v>71558</v>
      </c>
    </row>
    <row r="7" spans="2:8" x14ac:dyDescent="0.3">
      <c r="B7" t="s">
        <v>11</v>
      </c>
      <c r="C7" s="3">
        <v>31555</v>
      </c>
      <c r="G7" t="str">
        <f t="shared" ca="1" si="0"/>
        <v>Comp 12</v>
      </c>
      <c r="H7" s="3">
        <f t="shared" ca="1" si="0"/>
        <v>202841</v>
      </c>
    </row>
    <row r="8" spans="2:8" x14ac:dyDescent="0.3">
      <c r="B8" t="s">
        <v>12</v>
      </c>
      <c r="C8" s="3">
        <v>987867</v>
      </c>
    </row>
    <row r="9" spans="2:8" x14ac:dyDescent="0.3">
      <c r="B9" t="s">
        <v>13</v>
      </c>
      <c r="C9" s="3">
        <v>107279</v>
      </c>
    </row>
    <row r="10" spans="2:8" x14ac:dyDescent="0.3">
      <c r="B10" t="s">
        <v>14</v>
      </c>
      <c r="C10" s="3">
        <v>848704</v>
      </c>
    </row>
    <row r="11" spans="2:8" x14ac:dyDescent="0.3">
      <c r="B11" t="s">
        <v>15</v>
      </c>
      <c r="C11" s="3">
        <v>88719</v>
      </c>
    </row>
    <row r="12" spans="2:8" x14ac:dyDescent="0.3">
      <c r="B12" t="s">
        <v>16</v>
      </c>
      <c r="C12" s="3">
        <v>717031</v>
      </c>
    </row>
    <row r="13" spans="2:8" x14ac:dyDescent="0.3">
      <c r="B13" t="s">
        <v>17</v>
      </c>
      <c r="C13" s="3">
        <v>827605</v>
      </c>
    </row>
    <row r="14" spans="2:8" x14ac:dyDescent="0.3">
      <c r="B14" t="s">
        <v>18</v>
      </c>
      <c r="C14" s="3">
        <v>71558</v>
      </c>
    </row>
    <row r="15" spans="2:8" x14ac:dyDescent="0.3">
      <c r="B15" t="s">
        <v>19</v>
      </c>
      <c r="C15" s="3">
        <v>202841</v>
      </c>
    </row>
    <row r="16" spans="2:8" x14ac:dyDescent="0.3">
      <c r="B16" t="s">
        <v>20</v>
      </c>
      <c r="C16" s="3">
        <v>320619</v>
      </c>
    </row>
    <row r="17" spans="2:12" x14ac:dyDescent="0.3">
      <c r="B17" t="s">
        <v>21</v>
      </c>
      <c r="C17" s="3">
        <v>775670</v>
      </c>
    </row>
    <row r="18" spans="2:12" x14ac:dyDescent="0.3">
      <c r="B18" t="s">
        <v>22</v>
      </c>
      <c r="C18" s="3">
        <v>730406</v>
      </c>
    </row>
    <row r="19" spans="2:12" x14ac:dyDescent="0.3">
      <c r="B19" t="s">
        <v>23</v>
      </c>
      <c r="C19" s="3">
        <v>920425</v>
      </c>
    </row>
    <row r="20" spans="2:12" x14ac:dyDescent="0.3">
      <c r="B20" t="s">
        <v>24</v>
      </c>
      <c r="C20" s="3">
        <v>380629</v>
      </c>
    </row>
    <row r="21" spans="2:12" x14ac:dyDescent="0.3">
      <c r="B21" t="s">
        <v>25</v>
      </c>
      <c r="C21" s="3">
        <v>311004</v>
      </c>
    </row>
    <row r="22" spans="2:12" x14ac:dyDescent="0.3">
      <c r="B22" t="s">
        <v>26</v>
      </c>
      <c r="C22" s="3">
        <v>356884</v>
      </c>
    </row>
    <row r="23" spans="2:12" ht="15" thickBot="1" x14ac:dyDescent="0.35">
      <c r="B23" t="s">
        <v>27</v>
      </c>
      <c r="C23" s="3">
        <v>926708</v>
      </c>
    </row>
    <row r="24" spans="2:12" ht="15" thickBot="1" x14ac:dyDescent="0.35">
      <c r="B24" t="s">
        <v>28</v>
      </c>
      <c r="C24" s="3">
        <v>358556</v>
      </c>
      <c r="E24">
        <v>9</v>
      </c>
      <c r="F24" s="11"/>
      <c r="G24" s="12"/>
      <c r="H24" s="12"/>
      <c r="I24" s="12"/>
      <c r="J24" s="12"/>
      <c r="K24" s="12"/>
      <c r="L24" s="13"/>
    </row>
    <row r="25" spans="2:12" x14ac:dyDescent="0.3">
      <c r="B25" t="s">
        <v>29</v>
      </c>
      <c r="C25" s="3">
        <v>139044</v>
      </c>
    </row>
    <row r="26" spans="2:12" x14ac:dyDescent="0.3">
      <c r="B26" t="s">
        <v>30</v>
      </c>
      <c r="C26" s="3">
        <v>341629</v>
      </c>
    </row>
    <row r="27" spans="2:12" x14ac:dyDescent="0.3">
      <c r="B27" t="s">
        <v>31</v>
      </c>
      <c r="C27" s="3">
        <v>514623</v>
      </c>
    </row>
    <row r="28" spans="2:12" x14ac:dyDescent="0.3">
      <c r="B28" t="s">
        <v>32</v>
      </c>
      <c r="C28" s="3">
        <v>143516</v>
      </c>
    </row>
    <row r="29" spans="2:12" x14ac:dyDescent="0.3">
      <c r="B29" t="s">
        <v>33</v>
      </c>
      <c r="C29" s="3">
        <v>283781</v>
      </c>
    </row>
    <row r="30" spans="2:12" x14ac:dyDescent="0.3">
      <c r="B30" t="s">
        <v>34</v>
      </c>
      <c r="C30" s="3">
        <v>618694</v>
      </c>
    </row>
    <row r="31" spans="2:12" x14ac:dyDescent="0.3">
      <c r="B31" t="s">
        <v>35</v>
      </c>
      <c r="C31" s="3">
        <v>958478</v>
      </c>
    </row>
    <row r="32" spans="2:12" x14ac:dyDescent="0.3">
      <c r="B32" t="s">
        <v>36</v>
      </c>
      <c r="C32" s="3">
        <v>614674</v>
      </c>
    </row>
    <row r="33" spans="2:3" x14ac:dyDescent="0.3">
      <c r="B33" t="s">
        <v>37</v>
      </c>
      <c r="C33" s="3">
        <v>257019</v>
      </c>
    </row>
    <row r="34" spans="2:3" x14ac:dyDescent="0.3">
      <c r="B34" t="s">
        <v>38</v>
      </c>
      <c r="C34" s="3">
        <v>710795</v>
      </c>
    </row>
    <row r="35" spans="2:3" x14ac:dyDescent="0.3">
      <c r="B35" t="s">
        <v>39</v>
      </c>
      <c r="C35" s="3">
        <v>979304</v>
      </c>
    </row>
    <row r="36" spans="2:3" x14ac:dyDescent="0.3">
      <c r="B36" t="s">
        <v>40</v>
      </c>
      <c r="C36" s="3">
        <v>265021</v>
      </c>
    </row>
    <row r="37" spans="2:3" x14ac:dyDescent="0.3">
      <c r="B37" t="s">
        <v>41</v>
      </c>
      <c r="C37" s="3">
        <v>648641</v>
      </c>
    </row>
    <row r="38" spans="2:3" x14ac:dyDescent="0.3">
      <c r="B38" t="s">
        <v>42</v>
      </c>
      <c r="C38" s="3">
        <v>547076</v>
      </c>
    </row>
    <row r="39" spans="2:3" x14ac:dyDescent="0.3">
      <c r="B39" t="s">
        <v>43</v>
      </c>
      <c r="C39" s="3">
        <v>604711</v>
      </c>
    </row>
    <row r="40" spans="2:3" x14ac:dyDescent="0.3">
      <c r="B40" t="s">
        <v>44</v>
      </c>
      <c r="C40" s="3">
        <v>462524</v>
      </c>
    </row>
    <row r="41" spans="2:3" x14ac:dyDescent="0.3">
      <c r="B41" t="s">
        <v>45</v>
      </c>
      <c r="C41" s="3">
        <v>837369</v>
      </c>
    </row>
    <row r="42" spans="2:3" x14ac:dyDescent="0.3">
      <c r="B42" t="s">
        <v>46</v>
      </c>
      <c r="C42" s="3">
        <v>988876</v>
      </c>
    </row>
    <row r="43" spans="2:3" x14ac:dyDescent="0.3">
      <c r="B43" t="s">
        <v>47</v>
      </c>
      <c r="C43" s="3">
        <v>991230</v>
      </c>
    </row>
    <row r="44" spans="2:3" x14ac:dyDescent="0.3">
      <c r="B44" t="s">
        <v>48</v>
      </c>
      <c r="C44" s="3">
        <v>110649</v>
      </c>
    </row>
    <row r="45" spans="2:3" x14ac:dyDescent="0.3">
      <c r="B45" t="s">
        <v>49</v>
      </c>
      <c r="C45" s="3">
        <v>893922</v>
      </c>
    </row>
    <row r="46" spans="2:3" x14ac:dyDescent="0.3">
      <c r="B46" t="s">
        <v>50</v>
      </c>
      <c r="C46" s="3">
        <v>49392</v>
      </c>
    </row>
    <row r="47" spans="2:3" x14ac:dyDescent="0.3">
      <c r="B47" t="s">
        <v>51</v>
      </c>
      <c r="C47" s="3">
        <v>266276</v>
      </c>
    </row>
    <row r="48" spans="2:3" x14ac:dyDescent="0.3">
      <c r="B48" t="s">
        <v>52</v>
      </c>
      <c r="C48" s="3">
        <v>713535</v>
      </c>
    </row>
    <row r="49" spans="2:3" x14ac:dyDescent="0.3">
      <c r="B49" t="s">
        <v>53</v>
      </c>
      <c r="C49" s="3">
        <v>142197</v>
      </c>
    </row>
    <row r="50" spans="2:3" x14ac:dyDescent="0.3">
      <c r="B50" t="s">
        <v>54</v>
      </c>
      <c r="C50" s="3">
        <v>410462</v>
      </c>
    </row>
    <row r="51" spans="2:3" x14ac:dyDescent="0.3">
      <c r="B51" t="s">
        <v>55</v>
      </c>
      <c r="C51" s="3">
        <v>343537</v>
      </c>
    </row>
    <row r="52" spans="2:3" x14ac:dyDescent="0.3">
      <c r="B52" t="s">
        <v>56</v>
      </c>
      <c r="C52" s="3">
        <v>194985</v>
      </c>
    </row>
    <row r="53" spans="2:3" x14ac:dyDescent="0.3">
      <c r="B53" t="s">
        <v>57</v>
      </c>
      <c r="C53" s="3">
        <v>35477</v>
      </c>
    </row>
  </sheetData>
  <mergeCells count="1">
    <mergeCell ref="F24:L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 Bar 1">
              <controlPr defaultSiz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8"/>
  <sheetViews>
    <sheetView zoomScaleNormal="100" workbookViewId="0">
      <selection activeCell="K19" sqref="K19:M26"/>
    </sheetView>
  </sheetViews>
  <sheetFormatPr defaultRowHeight="14.4" x14ac:dyDescent="0.3"/>
  <cols>
    <col min="1" max="1" width="13.5546875" bestFit="1" customWidth="1"/>
    <col min="2" max="2" width="12.88671875" bestFit="1" customWidth="1"/>
    <col min="3" max="4" width="11.33203125" bestFit="1" customWidth="1"/>
    <col min="5" max="5" width="11.88671875" bestFit="1" customWidth="1"/>
    <col min="6" max="13" width="11.33203125" bestFit="1" customWidth="1"/>
  </cols>
  <sheetData>
    <row r="1" spans="1:16" x14ac:dyDescent="0.3">
      <c r="A1" t="s">
        <v>72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  <c r="I1" t="s">
        <v>67</v>
      </c>
      <c r="J1" t="s">
        <v>68</v>
      </c>
      <c r="K1" t="s">
        <v>69</v>
      </c>
      <c r="L1" t="s">
        <v>70</v>
      </c>
      <c r="M1" t="s">
        <v>71</v>
      </c>
    </row>
    <row r="2" spans="1:16" x14ac:dyDescent="0.3">
      <c r="A2" t="s">
        <v>73</v>
      </c>
      <c r="B2" s="3">
        <v>67775.73</v>
      </c>
      <c r="C2" s="3">
        <v>92174.53</v>
      </c>
      <c r="D2" s="3">
        <v>47422.36</v>
      </c>
      <c r="E2" s="3">
        <v>22344.73</v>
      </c>
      <c r="F2" s="3">
        <v>79064.77</v>
      </c>
      <c r="G2" s="3">
        <v>99499.98</v>
      </c>
      <c r="H2" s="3">
        <v>93636.57</v>
      </c>
      <c r="I2" s="3">
        <v>71942.83</v>
      </c>
      <c r="J2" s="3">
        <v>87582.41</v>
      </c>
      <c r="K2" s="3">
        <v>25464.55</v>
      </c>
      <c r="L2" s="3">
        <v>95459.3</v>
      </c>
      <c r="M2" s="3">
        <v>74883.67</v>
      </c>
    </row>
    <row r="3" spans="1:16" x14ac:dyDescent="0.3">
      <c r="A3" t="s">
        <v>74</v>
      </c>
      <c r="B3" s="3">
        <v>76339.990000000005</v>
      </c>
      <c r="C3" s="3">
        <v>44959.22</v>
      </c>
      <c r="D3" s="3">
        <v>74176.429999999993</v>
      </c>
      <c r="E3" s="3">
        <v>26878.42</v>
      </c>
      <c r="F3" s="3">
        <v>20770.53</v>
      </c>
      <c r="G3" s="3">
        <v>41854.86</v>
      </c>
      <c r="H3" s="3">
        <v>27494.93</v>
      </c>
      <c r="I3" s="3">
        <v>72214.509999999995</v>
      </c>
      <c r="J3" s="3">
        <v>99123.28</v>
      </c>
      <c r="K3" s="3">
        <v>67712.789999999994</v>
      </c>
      <c r="L3" s="3">
        <v>34914.44</v>
      </c>
      <c r="M3" s="3">
        <v>68165.52</v>
      </c>
    </row>
    <row r="4" spans="1:16" x14ac:dyDescent="0.3">
      <c r="A4" t="s">
        <v>75</v>
      </c>
      <c r="B4" s="3">
        <v>91304.68</v>
      </c>
      <c r="C4" s="3">
        <v>24678.48</v>
      </c>
      <c r="D4" s="3">
        <v>28144.49</v>
      </c>
      <c r="E4" s="3">
        <v>81023.63</v>
      </c>
      <c r="F4" s="3">
        <v>5694.33</v>
      </c>
      <c r="G4" s="3">
        <v>71982.789999999994</v>
      </c>
      <c r="H4" s="3">
        <v>23543.52</v>
      </c>
      <c r="I4" s="3">
        <v>93865.57</v>
      </c>
      <c r="J4" s="3">
        <v>20229.61</v>
      </c>
      <c r="K4" s="3">
        <v>98892.18</v>
      </c>
      <c r="L4" s="3">
        <v>71357.86</v>
      </c>
      <c r="M4" s="3">
        <v>82392.12</v>
      </c>
    </row>
    <row r="5" spans="1:16" x14ac:dyDescent="0.3">
      <c r="A5" t="s">
        <v>76</v>
      </c>
      <c r="B5" s="3">
        <v>90760.5</v>
      </c>
      <c r="C5" s="3">
        <v>79914.91</v>
      </c>
      <c r="D5" s="3">
        <v>97367.98</v>
      </c>
      <c r="E5" s="3">
        <v>97563.73</v>
      </c>
      <c r="F5" s="3">
        <v>83628.06</v>
      </c>
      <c r="G5" s="3">
        <v>37380.589999999997</v>
      </c>
      <c r="H5" s="3">
        <v>30392.32</v>
      </c>
      <c r="I5" s="3">
        <v>54563.31</v>
      </c>
      <c r="J5" s="3">
        <v>35025.79</v>
      </c>
      <c r="K5" s="3">
        <v>37315.79</v>
      </c>
      <c r="L5" s="3">
        <v>50890.58</v>
      </c>
      <c r="M5" s="3">
        <v>24971.06</v>
      </c>
    </row>
    <row r="6" spans="1:16" x14ac:dyDescent="0.3">
      <c r="A6" t="s">
        <v>77</v>
      </c>
      <c r="B6" s="3">
        <v>6540.07</v>
      </c>
      <c r="C6" s="3">
        <v>1538.8</v>
      </c>
      <c r="D6" s="3">
        <v>92858.26</v>
      </c>
      <c r="E6" s="3">
        <v>65978.559999999998</v>
      </c>
      <c r="F6" s="3">
        <v>86112.06</v>
      </c>
      <c r="G6" s="3">
        <v>11999.77</v>
      </c>
      <c r="H6" s="3">
        <v>18573.22</v>
      </c>
      <c r="I6" s="3">
        <v>90750.32</v>
      </c>
      <c r="J6" s="3">
        <v>8696.94</v>
      </c>
      <c r="K6" s="3">
        <v>78961.8</v>
      </c>
      <c r="L6" s="3">
        <v>64233.46</v>
      </c>
      <c r="M6" s="3">
        <v>10180.959999999999</v>
      </c>
    </row>
    <row r="7" spans="1:16" x14ac:dyDescent="0.3">
      <c r="A7" t="s">
        <v>78</v>
      </c>
      <c r="B7" s="3">
        <v>83438.91</v>
      </c>
      <c r="C7" s="3">
        <v>20507.82</v>
      </c>
      <c r="D7" s="3">
        <v>34070.36</v>
      </c>
      <c r="E7" s="3">
        <v>39547.160000000003</v>
      </c>
      <c r="F7" s="3">
        <v>86963.839999999997</v>
      </c>
      <c r="G7" s="3">
        <v>48119.92</v>
      </c>
      <c r="H7" s="3">
        <v>48127.4</v>
      </c>
      <c r="I7" s="3">
        <v>49233.13</v>
      </c>
      <c r="J7" s="3">
        <v>48386.42</v>
      </c>
      <c r="K7" s="3">
        <v>56370.879999999997</v>
      </c>
      <c r="L7" s="3">
        <v>40451.730000000003</v>
      </c>
      <c r="M7" s="3">
        <v>49018.51</v>
      </c>
      <c r="P7" t="s">
        <v>88</v>
      </c>
    </row>
    <row r="8" spans="1:16" x14ac:dyDescent="0.3">
      <c r="A8" t="s">
        <v>79</v>
      </c>
      <c r="B8" s="3">
        <v>73931.67</v>
      </c>
      <c r="C8" s="3">
        <v>15419.02</v>
      </c>
      <c r="D8" s="3">
        <v>9934.99</v>
      </c>
      <c r="E8" s="3">
        <v>73217.05</v>
      </c>
      <c r="F8" s="3">
        <v>90514.34</v>
      </c>
      <c r="G8" s="3">
        <v>72672.19</v>
      </c>
      <c r="H8" s="3">
        <v>58268.81</v>
      </c>
      <c r="I8" s="3">
        <v>47267.16</v>
      </c>
      <c r="J8" s="3">
        <v>46861.63</v>
      </c>
      <c r="K8" s="3">
        <v>11343.36</v>
      </c>
      <c r="L8" s="3">
        <v>24530.68</v>
      </c>
      <c r="M8" s="3">
        <v>1861.21</v>
      </c>
      <c r="P8" t="s">
        <v>89</v>
      </c>
    </row>
    <row r="9" spans="1:16" x14ac:dyDescent="0.3">
      <c r="A9" t="s">
        <v>80</v>
      </c>
      <c r="B9" s="3">
        <v>2056.5300000000002</v>
      </c>
      <c r="C9" s="3">
        <v>17806.919999999998</v>
      </c>
      <c r="D9" s="3">
        <v>98764.76</v>
      </c>
      <c r="E9" s="3">
        <v>87953.41</v>
      </c>
      <c r="F9" s="3">
        <v>6060.88</v>
      </c>
      <c r="G9" s="3">
        <v>12091.75</v>
      </c>
      <c r="H9" s="3">
        <v>92451.04</v>
      </c>
      <c r="I9" s="3">
        <v>14045.6</v>
      </c>
      <c r="J9" s="3">
        <v>8565.5400000000009</v>
      </c>
      <c r="K9" s="3">
        <v>40241.550000000003</v>
      </c>
      <c r="L9" s="3">
        <v>99961.18</v>
      </c>
      <c r="M9" s="3">
        <v>3292.17</v>
      </c>
      <c r="P9" t="s">
        <v>90</v>
      </c>
    </row>
    <row r="10" spans="1:16" x14ac:dyDescent="0.3">
      <c r="A10" t="s">
        <v>81</v>
      </c>
      <c r="B10" s="3">
        <v>32610.41</v>
      </c>
      <c r="C10" s="3">
        <v>28373.9</v>
      </c>
      <c r="D10" s="3">
        <v>1120.08</v>
      </c>
      <c r="E10" s="3">
        <v>66286.080000000002</v>
      </c>
      <c r="F10" s="3">
        <v>48144.37</v>
      </c>
      <c r="G10" s="3">
        <v>30635.37</v>
      </c>
      <c r="H10" s="3">
        <v>41471.75</v>
      </c>
      <c r="I10" s="3">
        <v>39554.01</v>
      </c>
      <c r="J10" s="3">
        <v>23894.92</v>
      </c>
      <c r="K10" s="3">
        <v>76051.710000000006</v>
      </c>
      <c r="L10" s="3">
        <v>84555.08</v>
      </c>
      <c r="M10" s="3">
        <v>53304.91</v>
      </c>
      <c r="P10" t="s">
        <v>91</v>
      </c>
    </row>
    <row r="11" spans="1:16" x14ac:dyDescent="0.3">
      <c r="A11" t="s">
        <v>82</v>
      </c>
      <c r="B11" s="3">
        <v>93413.59</v>
      </c>
      <c r="C11" s="3">
        <v>58916.1</v>
      </c>
      <c r="D11" s="3">
        <v>95823.2</v>
      </c>
      <c r="E11" s="3">
        <v>12053.6</v>
      </c>
      <c r="F11" s="3">
        <v>70037.429999999993</v>
      </c>
      <c r="G11" s="3">
        <v>98184.93</v>
      </c>
      <c r="H11" s="3">
        <v>42876.89</v>
      </c>
      <c r="I11" s="3">
        <v>76894.84</v>
      </c>
      <c r="J11" s="3">
        <v>70074.429999999993</v>
      </c>
      <c r="K11" s="3">
        <v>82318.59</v>
      </c>
      <c r="L11" s="3">
        <v>58400.14</v>
      </c>
      <c r="M11" s="3">
        <v>61377.2</v>
      </c>
      <c r="P11" t="s">
        <v>92</v>
      </c>
    </row>
    <row r="12" spans="1:16" x14ac:dyDescent="0.3">
      <c r="A12" t="s">
        <v>83</v>
      </c>
      <c r="B12" s="3">
        <v>14601.11</v>
      </c>
      <c r="C12" s="3">
        <v>90727.05</v>
      </c>
      <c r="D12" s="3">
        <v>81359.710000000006</v>
      </c>
      <c r="E12" s="3">
        <v>5944.09</v>
      </c>
      <c r="F12" s="3">
        <v>74009.320000000007</v>
      </c>
      <c r="G12" s="3">
        <v>77006.81</v>
      </c>
      <c r="H12" s="3">
        <v>98657.02</v>
      </c>
      <c r="I12" s="3">
        <v>83517.72</v>
      </c>
      <c r="J12" s="3">
        <v>11842.91</v>
      </c>
      <c r="K12" s="3">
        <v>60090.02</v>
      </c>
      <c r="L12" s="3">
        <v>24885.87</v>
      </c>
      <c r="M12" s="3">
        <v>82071</v>
      </c>
      <c r="P12" t="s">
        <v>93</v>
      </c>
    </row>
    <row r="13" spans="1:16" x14ac:dyDescent="0.3">
      <c r="A13" t="s">
        <v>84</v>
      </c>
      <c r="B13" s="3">
        <v>81555.070000000007</v>
      </c>
      <c r="C13" s="3">
        <v>18352.810000000001</v>
      </c>
      <c r="D13" s="3">
        <v>98932.31</v>
      </c>
      <c r="E13" s="3">
        <v>10977.6</v>
      </c>
      <c r="F13" s="3">
        <v>58843.93</v>
      </c>
      <c r="G13" s="3">
        <v>85195.1</v>
      </c>
      <c r="H13" s="3">
        <v>58107.01</v>
      </c>
      <c r="I13" s="3">
        <v>90637.99</v>
      </c>
      <c r="J13" s="3">
        <v>21506.63</v>
      </c>
      <c r="K13" s="3">
        <v>24578.5</v>
      </c>
      <c r="L13" s="3">
        <v>73789.149999999994</v>
      </c>
      <c r="M13" s="3">
        <v>81670.429999999993</v>
      </c>
      <c r="P13" t="s">
        <v>94</v>
      </c>
    </row>
    <row r="14" spans="1:16" x14ac:dyDescent="0.3">
      <c r="A14" t="s">
        <v>85</v>
      </c>
      <c r="B14" s="3">
        <v>50386.22</v>
      </c>
      <c r="C14" s="3">
        <v>55517.57</v>
      </c>
      <c r="D14" s="3">
        <v>41875.480000000003</v>
      </c>
      <c r="E14" s="3">
        <v>65761.19</v>
      </c>
      <c r="F14" s="3">
        <v>77415.31</v>
      </c>
      <c r="G14" s="3">
        <v>94618.31</v>
      </c>
      <c r="H14" s="3">
        <v>61902.23</v>
      </c>
      <c r="I14" s="3">
        <v>59479.71</v>
      </c>
      <c r="J14" s="3">
        <v>77082.05</v>
      </c>
      <c r="K14" s="3">
        <v>86788.26</v>
      </c>
      <c r="L14" s="3">
        <v>26185.25</v>
      </c>
      <c r="M14" s="3">
        <v>4386.96</v>
      </c>
      <c r="P14" t="s">
        <v>95</v>
      </c>
    </row>
    <row r="15" spans="1:16" x14ac:dyDescent="0.3">
      <c r="A15" t="s">
        <v>86</v>
      </c>
      <c r="B15" s="3">
        <v>58549.63</v>
      </c>
      <c r="C15" s="3">
        <v>59437.63</v>
      </c>
      <c r="D15" s="3">
        <v>34036.26</v>
      </c>
      <c r="E15" s="3">
        <v>20937.21</v>
      </c>
      <c r="F15" s="3">
        <v>69937.41</v>
      </c>
      <c r="G15" s="3">
        <v>17589.96</v>
      </c>
      <c r="H15" s="3">
        <v>87963.44</v>
      </c>
      <c r="I15" s="3">
        <v>88675.17</v>
      </c>
      <c r="J15" s="3">
        <v>18014.73</v>
      </c>
      <c r="K15" s="3">
        <v>8339.9599999999991</v>
      </c>
      <c r="L15" s="3">
        <v>99897.09</v>
      </c>
      <c r="M15" s="3">
        <v>78344.929999999993</v>
      </c>
      <c r="P15" t="s">
        <v>96</v>
      </c>
    </row>
    <row r="16" spans="1:16" x14ac:dyDescent="0.3">
      <c r="A16" t="s">
        <v>87</v>
      </c>
      <c r="B16" s="3">
        <v>73862.759999999995</v>
      </c>
      <c r="C16" s="3">
        <v>36507.120000000003</v>
      </c>
      <c r="D16" s="3">
        <v>45901.1</v>
      </c>
      <c r="E16" s="3">
        <v>60981.88</v>
      </c>
      <c r="F16" s="3">
        <v>45687.16</v>
      </c>
      <c r="G16" s="3">
        <v>22446.04</v>
      </c>
      <c r="H16" s="3">
        <v>30801.54</v>
      </c>
      <c r="I16" s="3">
        <v>17277.04</v>
      </c>
      <c r="J16" s="3">
        <v>3063.16</v>
      </c>
      <c r="K16" s="3">
        <v>4661.03</v>
      </c>
      <c r="L16" s="3">
        <v>91852.57</v>
      </c>
      <c r="M16" s="3">
        <v>15307.24</v>
      </c>
      <c r="P16" t="s">
        <v>97</v>
      </c>
    </row>
    <row r="17" spans="2:16" ht="15" thickBot="1" x14ac:dyDescent="0.35">
      <c r="P17" t="s">
        <v>98</v>
      </c>
    </row>
    <row r="18" spans="2:16" ht="15" thickBot="1" x14ac:dyDescent="0.35">
      <c r="G18" s="4">
        <v>1</v>
      </c>
      <c r="K18" s="4"/>
      <c r="P18" t="s">
        <v>99</v>
      </c>
    </row>
    <row r="19" spans="2:16" x14ac:dyDescent="0.3">
      <c r="G19" s="14">
        <f ca="1">SUM(OFFSET(B1,0,G18-1,COUNTA(B1:B16)))</f>
        <v>897126.87</v>
      </c>
      <c r="H19" s="15"/>
      <c r="I19" s="16"/>
      <c r="K19" s="23">
        <f ca="1">SUM(OFFSET(B1,0,5-1,COUNTA(B1:B16),COUNTA(C1:C16)*COUNTA(D1:D16)))</f>
        <v>6460022.3999999994</v>
      </c>
      <c r="L19" s="24"/>
      <c r="M19" s="25"/>
    </row>
    <row r="20" spans="2:16" x14ac:dyDescent="0.3">
      <c r="G20" s="17"/>
      <c r="H20" s="18"/>
      <c r="I20" s="19"/>
      <c r="K20" s="26"/>
      <c r="L20" s="27"/>
      <c r="M20" s="28"/>
    </row>
    <row r="21" spans="2:16" x14ac:dyDescent="0.3">
      <c r="G21" s="17"/>
      <c r="H21" s="18"/>
      <c r="I21" s="19"/>
      <c r="K21" s="26"/>
      <c r="L21" s="27"/>
      <c r="M21" s="28"/>
    </row>
    <row r="22" spans="2:16" x14ac:dyDescent="0.3">
      <c r="G22" s="17"/>
      <c r="H22" s="18"/>
      <c r="I22" s="19"/>
      <c r="K22" s="26"/>
      <c r="L22" s="27"/>
      <c r="M22" s="28"/>
    </row>
    <row r="23" spans="2:16" x14ac:dyDescent="0.3">
      <c r="G23" s="17"/>
      <c r="H23" s="18"/>
      <c r="I23" s="19"/>
      <c r="K23" s="26"/>
      <c r="L23" s="27"/>
      <c r="M23" s="28"/>
      <c r="P23">
        <f ca="1">SUM(OFFSET(A1:A16,0,G18))</f>
        <v>897126.87</v>
      </c>
    </row>
    <row r="24" spans="2:16" x14ac:dyDescent="0.3">
      <c r="G24" s="17"/>
      <c r="H24" s="18"/>
      <c r="I24" s="19"/>
      <c r="K24" s="26"/>
      <c r="L24" s="27"/>
      <c r="M24" s="28"/>
    </row>
    <row r="25" spans="2:16" x14ac:dyDescent="0.3">
      <c r="B25" s="3">
        <f>SUM(B2:C16)</f>
        <v>1541958.75</v>
      </c>
      <c r="E25" s="3">
        <f>SUM(D2:D16)</f>
        <v>881787.7699999999</v>
      </c>
      <c r="G25" s="17"/>
      <c r="H25" s="18"/>
      <c r="I25" s="19"/>
      <c r="K25" s="26"/>
      <c r="L25" s="27"/>
      <c r="M25" s="28"/>
    </row>
    <row r="26" spans="2:16" ht="15" thickBot="1" x14ac:dyDescent="0.35">
      <c r="G26" s="20"/>
      <c r="H26" s="21"/>
      <c r="I26" s="22"/>
      <c r="K26" s="29"/>
      <c r="L26" s="30"/>
      <c r="M26" s="31"/>
    </row>
    <row r="27" spans="2:16" x14ac:dyDescent="0.3">
      <c r="G27" s="5"/>
    </row>
    <row r="28" spans="2:16" x14ac:dyDescent="0.3">
      <c r="G28">
        <f ca="1">SUM(OFFSET(A1:A16,0,G18))</f>
        <v>897126.87</v>
      </c>
    </row>
  </sheetData>
  <mergeCells count="2">
    <mergeCell ref="G19:I26"/>
    <mergeCell ref="K19:M26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Drop Down 10">
              <controlPr defaultSize="0" autoLine="0" autoPict="0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Drop Down 1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87C63-5082-410B-8D77-BB3796AD8BDF}">
  <sheetPr codeName="Sheet5"/>
  <dimension ref="B2:J60"/>
  <sheetViews>
    <sheetView topLeftCell="A46" zoomScaleNormal="100" workbookViewId="0">
      <selection activeCell="D69" sqref="D69"/>
    </sheetView>
  </sheetViews>
  <sheetFormatPr defaultRowHeight="14.4" x14ac:dyDescent="0.3"/>
  <cols>
    <col min="2" max="2" width="8.77734375" bestFit="1" customWidth="1"/>
    <col min="3" max="3" width="15.77734375" customWidth="1"/>
    <col min="4" max="4" width="25.77734375" customWidth="1"/>
    <col min="5" max="5" width="30.77734375" customWidth="1"/>
    <col min="6" max="6" width="15.77734375" customWidth="1"/>
    <col min="7" max="7" width="25.77734375" customWidth="1"/>
    <col min="8" max="8" width="30.77734375" customWidth="1"/>
    <col min="9" max="9" width="25.77734375" customWidth="1"/>
    <col min="10" max="10" width="30.77734375" customWidth="1"/>
  </cols>
  <sheetData>
    <row r="2" spans="2:10" ht="24.6" x14ac:dyDescent="0.4">
      <c r="E2" s="7" t="s">
        <v>101</v>
      </c>
      <c r="F2" s="7" t="s">
        <v>100</v>
      </c>
      <c r="G2" s="7" t="s">
        <v>102</v>
      </c>
      <c r="H2" s="7" t="s">
        <v>103</v>
      </c>
    </row>
    <row r="3" spans="2:10" ht="24.6" x14ac:dyDescent="0.4">
      <c r="E3" s="7" t="s">
        <v>101</v>
      </c>
      <c r="F3" s="7" t="s">
        <v>100</v>
      </c>
      <c r="G3" s="7" t="s">
        <v>102</v>
      </c>
      <c r="H3" s="7" t="s">
        <v>103</v>
      </c>
    </row>
    <row r="9" spans="2:10" ht="24.6" x14ac:dyDescent="0.4">
      <c r="B9" s="2"/>
      <c r="C9" s="2"/>
      <c r="D9" s="6"/>
      <c r="E9" s="9" t="s">
        <v>101</v>
      </c>
      <c r="F9" s="9" t="s">
        <v>100</v>
      </c>
      <c r="G9" s="9" t="s">
        <v>102</v>
      </c>
      <c r="H9" s="9" t="s">
        <v>103</v>
      </c>
      <c r="I9" s="8"/>
      <c r="J9" s="2"/>
    </row>
    <row r="19" spans="2:10" ht="24.6" x14ac:dyDescent="0.4">
      <c r="B19" s="7" t="s">
        <v>101</v>
      </c>
      <c r="C19" s="7" t="s">
        <v>100</v>
      </c>
      <c r="D19" s="7" t="s">
        <v>102</v>
      </c>
      <c r="E19" s="7" t="s">
        <v>103</v>
      </c>
    </row>
    <row r="29" spans="2:10" ht="24.6" x14ac:dyDescent="0.4">
      <c r="G29" s="7" t="s">
        <v>101</v>
      </c>
      <c r="H29" s="7" t="s">
        <v>100</v>
      </c>
      <c r="I29" s="7" t="s">
        <v>102</v>
      </c>
      <c r="J29" s="7" t="s">
        <v>103</v>
      </c>
    </row>
    <row r="38" spans="2:7" ht="24.6" x14ac:dyDescent="0.4">
      <c r="D38" s="7" t="s">
        <v>101</v>
      </c>
      <c r="E38" s="7" t="s">
        <v>100</v>
      </c>
      <c r="F38" s="7" t="s">
        <v>102</v>
      </c>
      <c r="G38" s="7" t="s">
        <v>103</v>
      </c>
    </row>
    <row r="48" spans="2:7" ht="24.6" x14ac:dyDescent="0.4">
      <c r="B48" s="7" t="s">
        <v>101</v>
      </c>
      <c r="C48" s="7" t="s">
        <v>100</v>
      </c>
      <c r="D48" s="7" t="s">
        <v>102</v>
      </c>
      <c r="E48" s="7" t="s">
        <v>103</v>
      </c>
    </row>
    <row r="60" spans="5:8" ht="24.6" x14ac:dyDescent="0.4">
      <c r="E60" s="7" t="s">
        <v>101</v>
      </c>
      <c r="F60" s="7" t="s">
        <v>100</v>
      </c>
      <c r="G60" s="7" t="s">
        <v>102</v>
      </c>
      <c r="H60" s="7" t="s">
        <v>103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4206A-6C3D-4E43-9B46-64E9EF68049A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0A689-7216-4499-93AC-E11322F4A65D}">
  <sheetPr codeName="Sheet6"/>
  <dimension ref="E5:I14"/>
  <sheetViews>
    <sheetView workbookViewId="0">
      <selection activeCell="F14" sqref="F14:I14"/>
    </sheetView>
  </sheetViews>
  <sheetFormatPr defaultRowHeight="14.4" x14ac:dyDescent="0.3"/>
  <cols>
    <col min="7" max="7" width="15.77734375" customWidth="1"/>
    <col min="8" max="8" width="20.77734375" customWidth="1"/>
    <col min="9" max="9" width="25.77734375" customWidth="1"/>
  </cols>
  <sheetData>
    <row r="5" spans="5:9" x14ac:dyDescent="0.3">
      <c r="E5" t="s">
        <v>101</v>
      </c>
    </row>
    <row r="6" spans="5:9" x14ac:dyDescent="0.3">
      <c r="G6" t="s">
        <v>101</v>
      </c>
    </row>
    <row r="14" spans="5:9" ht="17.399999999999999" x14ac:dyDescent="0.3">
      <c r="F14" s="10" t="s">
        <v>101</v>
      </c>
      <c r="G14" s="10" t="s">
        <v>100</v>
      </c>
      <c r="H14" s="10" t="s">
        <v>102</v>
      </c>
      <c r="I14" s="10" t="s">
        <v>103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58787-38AD-4ED0-9DFA-45EE09AE6862}">
  <dimension ref="D16:AS33"/>
  <sheetViews>
    <sheetView topLeftCell="B14" zoomScaleNormal="100" workbookViewId="0">
      <selection activeCell="AM21" sqref="AM21:AS23"/>
    </sheetView>
  </sheetViews>
  <sheetFormatPr defaultRowHeight="14.4" x14ac:dyDescent="0.3"/>
  <sheetData>
    <row r="16" spans="4:10" ht="18" x14ac:dyDescent="0.35">
      <c r="D16" s="34" t="s">
        <v>104</v>
      </c>
      <c r="E16" s="34"/>
      <c r="F16" s="34"/>
      <c r="G16" s="34"/>
      <c r="H16" s="34"/>
      <c r="I16" s="34"/>
      <c r="J16" s="34"/>
    </row>
    <row r="18" spans="4:45" x14ac:dyDescent="0.3">
      <c r="D18" s="35" t="s">
        <v>105</v>
      </c>
      <c r="E18" s="35"/>
      <c r="F18" s="35"/>
      <c r="G18" s="35"/>
      <c r="H18" s="35"/>
      <c r="I18" s="35"/>
      <c r="J18" s="35"/>
      <c r="P18" s="39" t="s">
        <v>106</v>
      </c>
      <c r="Q18" s="39"/>
      <c r="R18" s="39"/>
      <c r="S18" s="39"/>
      <c r="T18" s="39"/>
      <c r="U18" s="39"/>
      <c r="V18" s="39"/>
    </row>
    <row r="19" spans="4:45" x14ac:dyDescent="0.3">
      <c r="D19" s="36" t="s">
        <v>106</v>
      </c>
      <c r="E19" s="36"/>
      <c r="F19" s="36"/>
      <c r="G19" s="36"/>
      <c r="H19" s="36"/>
      <c r="I19" s="36"/>
      <c r="J19" s="36"/>
      <c r="P19" s="33" t="s">
        <v>107</v>
      </c>
      <c r="Q19" s="33"/>
      <c r="R19" s="33"/>
      <c r="S19" s="33"/>
      <c r="T19" s="33"/>
      <c r="U19" s="33"/>
      <c r="V19" s="33"/>
      <c r="W19" s="33"/>
      <c r="X19" s="33"/>
      <c r="Y19" s="33"/>
      <c r="Z19" t="s">
        <v>108</v>
      </c>
      <c r="AA19" t="s">
        <v>109</v>
      </c>
      <c r="AB19" t="s">
        <v>110</v>
      </c>
      <c r="AC19" s="2"/>
      <c r="AD19" s="2"/>
      <c r="AE19" s="2"/>
    </row>
    <row r="20" spans="4:45" x14ac:dyDescent="0.3">
      <c r="D20" s="37"/>
      <c r="E20" s="37"/>
      <c r="F20" s="37"/>
      <c r="G20" s="37"/>
      <c r="H20" s="37"/>
      <c r="I20" s="37"/>
      <c r="J20" s="37"/>
      <c r="Y20" s="32"/>
      <c r="Z20" s="32"/>
      <c r="AA20" s="32"/>
      <c r="AB20" s="32"/>
      <c r="AF20" s="38" t="s">
        <v>111</v>
      </c>
      <c r="AG20" s="27"/>
      <c r="AH20" s="27"/>
      <c r="AI20" s="27"/>
      <c r="AM20" s="40"/>
      <c r="AN20" s="40"/>
      <c r="AO20" s="40"/>
      <c r="AQ20" s="41"/>
      <c r="AR20" s="41"/>
      <c r="AS20" s="41"/>
    </row>
    <row r="21" spans="4:45" x14ac:dyDescent="0.3">
      <c r="D21" s="33" t="s">
        <v>107</v>
      </c>
      <c r="E21" s="33"/>
      <c r="F21" s="33"/>
      <c r="G21" s="33"/>
      <c r="H21" s="2" t="s">
        <v>108</v>
      </c>
      <c r="I21" s="2" t="s">
        <v>109</v>
      </c>
      <c r="J21" s="2" t="s">
        <v>110</v>
      </c>
      <c r="Y21" s="32"/>
      <c r="Z21" s="32"/>
      <c r="AA21" s="32"/>
      <c r="AB21" s="32"/>
      <c r="AF21" s="2"/>
      <c r="AG21" s="2"/>
      <c r="AH21" s="2"/>
      <c r="AM21" s="33"/>
      <c r="AN21" s="33"/>
      <c r="AO21" s="33"/>
      <c r="AP21" s="33"/>
      <c r="AQ21" s="33"/>
      <c r="AR21" s="33"/>
      <c r="AS21" s="33"/>
    </row>
    <row r="22" spans="4:45" x14ac:dyDescent="0.3">
      <c r="D22" s="33"/>
      <c r="E22" s="33"/>
      <c r="F22" s="33"/>
      <c r="G22" s="33"/>
      <c r="H22" s="2"/>
      <c r="I22" s="2"/>
      <c r="J22" s="2"/>
      <c r="Y22" s="32"/>
      <c r="Z22" s="32"/>
      <c r="AA22" s="32"/>
      <c r="AB22" s="32"/>
      <c r="AF22" s="2"/>
      <c r="AG22" s="2"/>
      <c r="AH22" s="2"/>
      <c r="AM22" s="33"/>
      <c r="AN22" s="33"/>
      <c r="AO22" s="33"/>
      <c r="AP22" s="33"/>
      <c r="AQ22" s="33"/>
      <c r="AR22" s="33"/>
      <c r="AS22" s="33"/>
    </row>
    <row r="23" spans="4:45" x14ac:dyDescent="0.3">
      <c r="D23" s="33"/>
      <c r="E23" s="33"/>
      <c r="F23" s="33"/>
      <c r="G23" s="33"/>
      <c r="H23" s="2"/>
      <c r="I23" s="2"/>
      <c r="J23" s="2"/>
      <c r="Y23" s="32"/>
      <c r="Z23" s="32"/>
      <c r="AA23" s="32"/>
      <c r="AB23" s="32"/>
      <c r="AF23" s="2"/>
      <c r="AG23" s="2"/>
      <c r="AH23" s="2"/>
      <c r="AM23" s="33"/>
      <c r="AN23" s="33"/>
      <c r="AO23" s="33"/>
      <c r="AP23" s="33"/>
      <c r="AQ23" s="33"/>
      <c r="AR23" s="33"/>
      <c r="AS23" s="33"/>
    </row>
    <row r="24" spans="4:45" x14ac:dyDescent="0.3">
      <c r="D24" s="33"/>
      <c r="E24" s="33"/>
      <c r="F24" s="33"/>
      <c r="G24" s="33"/>
      <c r="H24" s="2"/>
      <c r="I24" s="2"/>
      <c r="J24" s="2"/>
      <c r="Y24" s="32"/>
      <c r="Z24" s="32"/>
      <c r="AA24" s="32"/>
      <c r="AB24" s="32"/>
      <c r="AF24" s="2"/>
      <c r="AG24" s="2"/>
      <c r="AH24" s="2"/>
    </row>
    <row r="25" spans="4:45" x14ac:dyDescent="0.3">
      <c r="D25" s="33"/>
      <c r="E25" s="33"/>
      <c r="F25" s="33"/>
      <c r="G25" s="33"/>
      <c r="H25" s="2"/>
      <c r="I25" s="2"/>
      <c r="J25" s="2"/>
      <c r="Y25" s="32"/>
      <c r="Z25" s="32"/>
      <c r="AA25" s="32"/>
      <c r="AB25" s="32"/>
      <c r="AF25" s="2"/>
      <c r="AG25" s="2"/>
      <c r="AH25" s="2"/>
    </row>
    <row r="26" spans="4:45" x14ac:dyDescent="0.3">
      <c r="D26" s="33"/>
      <c r="E26" s="33"/>
      <c r="F26" s="33"/>
      <c r="G26" s="33"/>
      <c r="H26" s="2"/>
      <c r="I26" s="2"/>
      <c r="J26" s="2"/>
      <c r="Y26" s="32"/>
      <c r="Z26" s="32"/>
      <c r="AA26" s="32"/>
      <c r="AB26" s="32"/>
      <c r="AF26" s="2"/>
      <c r="AG26" s="2"/>
      <c r="AH26" s="2"/>
    </row>
    <row r="27" spans="4:45" x14ac:dyDescent="0.3">
      <c r="D27" s="33"/>
      <c r="E27" s="33"/>
      <c r="F27" s="33"/>
      <c r="G27" s="33"/>
      <c r="H27" s="2"/>
      <c r="I27" s="2"/>
      <c r="J27" s="2"/>
      <c r="Y27" s="32"/>
      <c r="Z27" s="32"/>
      <c r="AA27" s="32"/>
      <c r="AB27" s="32"/>
      <c r="AF27" s="2"/>
      <c r="AG27" s="2"/>
      <c r="AH27" s="2"/>
    </row>
    <row r="28" spans="4:45" x14ac:dyDescent="0.3">
      <c r="D28" s="33"/>
      <c r="E28" s="33"/>
      <c r="F28" s="33"/>
      <c r="G28" s="33"/>
      <c r="H28" s="2"/>
      <c r="I28" s="2"/>
      <c r="J28" s="2"/>
    </row>
    <row r="29" spans="4:45" x14ac:dyDescent="0.3">
      <c r="D29" s="33"/>
      <c r="E29" s="33"/>
      <c r="F29" s="33"/>
      <c r="G29" s="33"/>
      <c r="H29" s="2"/>
      <c r="I29" s="2"/>
      <c r="J29" s="2"/>
    </row>
    <row r="30" spans="4:45" x14ac:dyDescent="0.3">
      <c r="D30" s="33" t="s">
        <v>111</v>
      </c>
      <c r="E30" s="33"/>
      <c r="F30" s="33"/>
      <c r="G30" s="33"/>
      <c r="H30" s="33"/>
      <c r="I30" s="33"/>
      <c r="J30" s="33"/>
    </row>
    <row r="31" spans="4:45" x14ac:dyDescent="0.3">
      <c r="D31" s="33"/>
      <c r="E31" s="33"/>
      <c r="F31" s="33"/>
      <c r="G31" s="33"/>
      <c r="H31" s="33"/>
      <c r="I31" s="33"/>
      <c r="J31" s="33"/>
    </row>
    <row r="32" spans="4:45" x14ac:dyDescent="0.3">
      <c r="D32" s="33"/>
      <c r="E32" s="33"/>
      <c r="F32" s="33"/>
      <c r="G32" s="33"/>
      <c r="H32" s="33"/>
      <c r="I32" s="33"/>
      <c r="J32" s="33"/>
    </row>
    <row r="33" spans="4:10" x14ac:dyDescent="0.3">
      <c r="D33" s="33"/>
      <c r="E33" s="33"/>
      <c r="F33" s="33"/>
      <c r="G33" s="33"/>
      <c r="H33" s="33"/>
      <c r="I33" s="33"/>
      <c r="J33" s="33"/>
    </row>
  </sheetData>
  <mergeCells count="15">
    <mergeCell ref="AF20:AI20"/>
    <mergeCell ref="AQ20:AS20"/>
    <mergeCell ref="AM21:AS23"/>
    <mergeCell ref="D30:G30"/>
    <mergeCell ref="H30:J30"/>
    <mergeCell ref="D31:J33"/>
    <mergeCell ref="P18:V18"/>
    <mergeCell ref="P19:Y19"/>
    <mergeCell ref="Y20:AB27"/>
    <mergeCell ref="D16:J16"/>
    <mergeCell ref="D18:J18"/>
    <mergeCell ref="D19:J19"/>
    <mergeCell ref="D20:J20"/>
    <mergeCell ref="D21:G21"/>
    <mergeCell ref="D22:G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Dynamic Drop Down</vt:lpstr>
      <vt:lpstr>Form Controls</vt:lpstr>
      <vt:lpstr>Sheet3</vt:lpstr>
      <vt:lpstr>Sheet4</vt:lpstr>
      <vt:lpstr>Sheet1</vt:lpstr>
      <vt:lpstr>Sheet6</vt:lpstr>
      <vt:lpstr>Sheet2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Avinash Jain</dc:creator>
  <cp:lastModifiedBy>Sachin</cp:lastModifiedBy>
  <cp:lastPrinted>2024-02-03T09:23:21Z</cp:lastPrinted>
  <dcterms:created xsi:type="dcterms:W3CDTF">2024-02-03T09:09:53Z</dcterms:created>
  <dcterms:modified xsi:type="dcterms:W3CDTF">2024-02-10T08:53:07Z</dcterms:modified>
</cp:coreProperties>
</file>